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Opportunities\1. New life in Ireland\EY D&amp;I\EY Internship\Projects\"/>
    </mc:Choice>
  </mc:AlternateContent>
  <xr:revisionPtr revIDLastSave="0" documentId="13_ncr:1_{4912B066-A2AE-4F37-8152-3BB9A21469B3}" xr6:coauthVersionLast="47" xr6:coauthVersionMax="47" xr10:uidLastSave="{00000000-0000-0000-0000-000000000000}"/>
  <bookViews>
    <workbookView xWindow="-110" yWindow="-110" windowWidth="19420" windowHeight="10300" firstSheet="5" activeTab="5" xr2:uid="{00000000-000D-0000-FFFF-FFFF00000000}"/>
  </bookViews>
  <sheets>
    <sheet name="Assumptions" sheetId="1" r:id="rId1"/>
    <sheet name="Housing_Delivery" sheetId="2" r:id="rId2"/>
    <sheet name="Economic_Impact" sheetId="3" r:id="rId3"/>
    <sheet name="Rent_Impact" sheetId="4" r:id="rId4"/>
    <sheet name="NPV_Calculation" sheetId="5" r:id="rId5"/>
    <sheet name="Summa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6" l="1"/>
  <c r="F7" i="6"/>
  <c r="F3" i="6"/>
  <c r="G3" i="6"/>
  <c r="F4" i="6"/>
  <c r="G4" i="6"/>
  <c r="F5" i="6"/>
  <c r="G5" i="6"/>
  <c r="F6" i="6"/>
  <c r="G6" i="6"/>
  <c r="B17" i="6"/>
  <c r="B4" i="6"/>
  <c r="C3" i="5"/>
  <c r="C4" i="5"/>
  <c r="C5" i="5"/>
  <c r="C6" i="5"/>
  <c r="C7" i="5"/>
  <c r="D4" i="4"/>
  <c r="D5" i="4"/>
  <c r="B3" i="2"/>
  <c r="F3" i="2" s="1"/>
  <c r="B4" i="2"/>
  <c r="C4" i="2"/>
  <c r="D4" i="2"/>
  <c r="E4" i="2"/>
  <c r="F4" i="2"/>
  <c r="G4" i="3" s="1"/>
  <c r="G4" i="2"/>
  <c r="B5" i="2"/>
  <c r="C5" i="2"/>
  <c r="B6" i="2"/>
  <c r="C6" i="2"/>
  <c r="F6" i="2" s="1"/>
  <c r="G6" i="3" s="1"/>
  <c r="G6" i="2"/>
  <c r="B7" i="2"/>
  <c r="C7" i="2"/>
  <c r="D7" i="2"/>
  <c r="E7" i="2"/>
  <c r="F7" i="2"/>
  <c r="G7" i="3" s="1"/>
  <c r="G7" i="2"/>
  <c r="B8" i="2"/>
  <c r="C8" i="2"/>
  <c r="B4" i="3" l="1"/>
  <c r="F4" i="3"/>
  <c r="B7" i="3"/>
  <c r="F7" i="3"/>
  <c r="C4" i="3"/>
  <c r="I4" i="3"/>
  <c r="E4" i="3"/>
  <c r="D4" i="3"/>
  <c r="H4" i="3" s="1"/>
  <c r="D3" i="2"/>
  <c r="E3" i="2"/>
  <c r="G3" i="2"/>
  <c r="G3" i="3" s="1"/>
  <c r="E5" i="2"/>
  <c r="G5" i="2"/>
  <c r="D5" i="2"/>
  <c r="F5" i="2"/>
  <c r="D6" i="2"/>
  <c r="E6" i="2"/>
  <c r="C7" i="3" l="1"/>
  <c r="B4" i="5"/>
  <c r="D4" i="5" s="1"/>
  <c r="B3" i="3"/>
  <c r="F3" i="3"/>
  <c r="B5" i="3"/>
  <c r="F5" i="3"/>
  <c r="F8" i="2"/>
  <c r="G5" i="3"/>
  <c r="G8" i="3" s="1"/>
  <c r="B13" i="6" s="1"/>
  <c r="F6" i="3"/>
  <c r="B6" i="3"/>
  <c r="D8" i="2"/>
  <c r="E8" i="2"/>
  <c r="G8" i="2"/>
  <c r="E7" i="3" l="1"/>
  <c r="I7" i="3"/>
  <c r="D7" i="3"/>
  <c r="H7" i="3" s="1"/>
  <c r="C3" i="3"/>
  <c r="B8" i="3"/>
  <c r="B5" i="6" s="1"/>
  <c r="C5" i="3"/>
  <c r="C6" i="3"/>
  <c r="F8" i="3"/>
  <c r="B12" i="6" s="1"/>
  <c r="E3" i="3" l="1"/>
  <c r="D3" i="3"/>
  <c r="C8" i="3"/>
  <c r="I3" i="3"/>
  <c r="I5" i="3"/>
  <c r="D5" i="3"/>
  <c r="H5" i="3" s="1"/>
  <c r="E5" i="3"/>
  <c r="B5" i="5" s="1"/>
  <c r="D5" i="5" s="1"/>
  <c r="E6" i="3"/>
  <c r="I6" i="3"/>
  <c r="D6" i="3"/>
  <c r="H6" i="3" s="1"/>
  <c r="B7" i="5"/>
  <c r="D7" i="5" s="1"/>
  <c r="B9" i="6" l="1"/>
  <c r="B7" i="6"/>
  <c r="E8" i="3"/>
  <c r="D8" i="3"/>
  <c r="B6" i="6" s="1"/>
  <c r="H3" i="3"/>
  <c r="I8" i="3"/>
  <c r="B8" i="6" s="1"/>
  <c r="B6" i="5"/>
  <c r="D6" i="5" s="1"/>
  <c r="B11" i="6" l="1"/>
  <c r="B15" i="6"/>
  <c r="H8" i="3"/>
  <c r="B14" i="6" s="1"/>
  <c r="B3" i="5"/>
  <c r="D3" i="5" s="1"/>
  <c r="E3" i="5" s="1"/>
  <c r="E4" i="5" s="1"/>
  <c r="E5" i="5" s="1"/>
  <c r="E6" i="5" s="1"/>
  <c r="E7" i="5" s="1"/>
  <c r="E8" i="5" s="1"/>
  <c r="B16" i="6" s="1"/>
</calcChain>
</file>

<file path=xl/sharedStrings.xml><?xml version="1.0" encoding="utf-8"?>
<sst xmlns="http://schemas.openxmlformats.org/spreadsheetml/2006/main" count="116" uniqueCount="100">
  <si>
    <t>Parameter</t>
  </si>
  <si>
    <t>2026 Value</t>
  </si>
  <si>
    <t>VAT: Houses</t>
  </si>
  <si>
    <t>Proposed – pending Cabinet approval</t>
  </si>
  <si>
    <t>Total homes target (2030)</t>
  </si>
  <si>
    <t>2025 completions (actual)</t>
  </si>
  <si>
    <t>2026 completions (forecast)</t>
  </si>
  <si>
    <t>2027 completions (forecast)</t>
  </si>
  <si>
    <t>2028 completions (forecast)</t>
  </si>
  <si>
    <t>2029 completions (forecast)</t>
  </si>
  <si>
    <t>Modular share - 2026</t>
  </si>
  <si>
    <t>Modular share - 2027</t>
  </si>
  <si>
    <t>Modular share - 2028</t>
  </si>
  <si>
    <t>Modular share - 2029</t>
  </si>
  <si>
    <t>Cost: Standard house (€)</t>
  </si>
  <si>
    <t>Cost: Modular house (€)</t>
  </si>
  <si>
    <t>Cost: Traditional apartment (€)</t>
  </si>
  <si>
    <t>Cost: Modular apartment (€)</t>
  </si>
  <si>
    <t>Cost: Back-garden modular unit (€)</t>
  </si>
  <si>
    <t>VAT: Apartments</t>
  </si>
  <si>
    <t>Corporation tax rate (large firms)</t>
  </si>
  <si>
    <t>Corp tax deduction (apartments 10+ units)</t>
  </si>
  <si>
    <t>Average construction salary (€)</t>
  </si>
  <si>
    <t>Income tax rate (effective)</t>
  </si>
  <si>
    <t>PRSI rate</t>
  </si>
  <si>
    <t>USC rate (effective)</t>
  </si>
  <si>
    <t>Rent-a-room annual cap (€)</t>
  </si>
  <si>
    <t>Discount rate</t>
  </si>
  <si>
    <t>GVA multiplier (construction)</t>
  </si>
  <si>
    <t>Modular policy status</t>
  </si>
  <si>
    <t>Garden unit exemption cap (sq m)</t>
  </si>
  <si>
    <t>Garden unit max size (sq m)</t>
  </si>
  <si>
    <t>Indirect employment multiplier (MMC)</t>
  </si>
  <si>
    <t>Labor headroom max</t>
  </si>
  <si>
    <t>Current employment (Q4 2025)</t>
  </si>
  <si>
    <t>VAT / Corp tax sunset date</t>
  </si>
  <si>
    <t>31/12/2030</t>
  </si>
  <si>
    <t>Year</t>
  </si>
  <si>
    <t>Total Completions</t>
  </si>
  <si>
    <t>Modular Share</t>
  </si>
  <si>
    <t>Modular Houses</t>
  </si>
  <si>
    <t>Traditional Houses</t>
  </si>
  <si>
    <t>Modular Apartments</t>
  </si>
  <si>
    <t>Traditional Apartments</t>
  </si>
  <si>
    <t>TOTALS</t>
  </si>
  <si>
    <t>Investment (€m)</t>
  </si>
  <si>
    <t>Direct Jobs</t>
  </si>
  <si>
    <t>GVA (€m)</t>
  </si>
  <si>
    <t>Income Tax (€m)</t>
  </si>
  <si>
    <t>VAT Houses (€m)</t>
  </si>
  <si>
    <t>VAT Apts (€m)</t>
  </si>
  <si>
    <t>Corp Tax (€m)</t>
  </si>
  <si>
    <t>Indirect Jobs</t>
  </si>
  <si>
    <t>Scenario</t>
  </si>
  <si>
    <t>Annual Rent (€)</t>
  </si>
  <si>
    <t>Taxable Income</t>
  </si>
  <si>
    <t>After-Tax Return (€)</t>
  </si>
  <si>
    <t>Tenant Status</t>
  </si>
  <si>
    <t>Included in rent-a-room (≤45 sq m, 25 sq m garden)</t>
  </si>
  <si>
    <t>Licensee</t>
  </si>
  <si>
    <t>Excluded (standard rental – &gt;45 sq m)</t>
  </si>
  <si>
    <t>Tenant</t>
  </si>
  <si>
    <t>Excluded (market rate)</t>
  </si>
  <si>
    <t>Net Benefit (€m)</t>
  </si>
  <si>
    <t>Discount Factor</t>
  </si>
  <si>
    <t>PV (€m)</t>
  </si>
  <si>
    <t>Cumulative PV (€m)</t>
  </si>
  <si>
    <t>NPV (€bn)</t>
  </si>
  <si>
    <t>MODULAR HOUSING – ECONOMIC IMPACT ASSESSMENT (2026-2029)</t>
  </si>
  <si>
    <t>KEY METRICS</t>
  </si>
  <si>
    <t>VALUE</t>
  </si>
  <si>
    <t>UNIT</t>
  </si>
  <si>
    <t>Total Homes Delivered</t>
  </si>
  <si>
    <t>units</t>
  </si>
  <si>
    <t>Total Investment</t>
  </si>
  <si>
    <t>€ billion</t>
  </si>
  <si>
    <t>Total Gross Value Added (GVA)</t>
  </si>
  <si>
    <t>Total Direct Jobs</t>
  </si>
  <si>
    <t>person-years</t>
  </si>
  <si>
    <t>Total Indirect Jobs</t>
  </si>
  <si>
    <t>Total Jobs Supported</t>
  </si>
  <si>
    <t>Income Tax</t>
  </si>
  <si>
    <t>VAT (Houses)</t>
  </si>
  <si>
    <t>VAT (Apartments)</t>
  </si>
  <si>
    <t>Corporation Tax</t>
  </si>
  <si>
    <t>Total Exchequer Return</t>
  </si>
  <si>
    <t>NPV (5-Year)</t>
  </si>
  <si>
    <t>Discount Rate Applied</t>
  </si>
  <si>
    <t>%</t>
  </si>
  <si>
    <t>EXCHEQUER RETURNS</t>
  </si>
  <si>
    <t>ASSUMPTIONS – INPUT PARAMETERS (APRIL 2026)</t>
  </si>
  <si>
    <t>HOUSING DELIVERY – UNITS BY TYPE (2025-2029)</t>
  </si>
  <si>
    <t>RENT IMPACT – GARDEN MODULAR UNITS</t>
  </si>
  <si>
    <t>NET PRESENT VALUE – DISCOUNTED CASHFLOW (4%)</t>
  </si>
  <si>
    <t>SUMMARY – KEY ECONOMIC METRICS</t>
  </si>
  <si>
    <t>ECONOMIC IMPACT – JOBS, GVA &amp; TAX REVENU</t>
  </si>
  <si>
    <t>Jobs Supported by Year (Person-Years)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</si>
  <si>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This analysis assumes completions increase from 36,000 in 2026 to 41,000 in 2029, consistent with ESRI structural demand estimates     (~44,000/year). Actual CSO completions in 2025 were 30,330 units. The model illustrates the economic impact of achieving policy targets under modular adoption.</t>
    </r>
  </si>
  <si>
    <t>v1.0 – April 2026 | Economic Impact Assessment</t>
  </si>
  <si>
    <t>Prepared by Mohamed Abdurrahman Mohamed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</si>
</sst>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0" formatCode="0.0000"/>
    <numFmt numFmtId="171" formatCode="0.0"/>
    <numFmt numFmtId="172" formatCode="#,##0.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  <xf numFmtId="3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9" fontId="4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3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3" fontId="4" fillId="0" borderId="0" xfId="0" applyNumberFormat="1" applyFont="1" applyAlignment="1">
      <alignment horizontal="center" wrapText="1"/>
    </xf>
    <xf numFmtId="3" fontId="1" fillId="0" borderId="0" xfId="0" applyNumberFormat="1" applyFont="1" applyAlignment="1">
      <alignment horizontal="center" vertical="center" wrapText="1"/>
    </xf>
    <xf numFmtId="3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wrapText="1"/>
    </xf>
    <xf numFmtId="3" fontId="5" fillId="2" borderId="0" xfId="0" applyNumberFormat="1" applyFont="1" applyFill="1" applyAlignment="1">
      <alignment horizontal="center" vertical="center" wrapText="1"/>
    </xf>
    <xf numFmtId="9" fontId="5" fillId="2" borderId="0" xfId="0" applyNumberFormat="1" applyFont="1" applyFill="1" applyAlignment="1">
      <alignment horizontal="center" vertical="center" wrapText="1"/>
    </xf>
    <xf numFmtId="3" fontId="5" fillId="2" borderId="0" xfId="0" applyNumberFormat="1" applyFont="1" applyFill="1" applyAlignment="1">
      <alignment horizontal="center" wrapText="1"/>
    </xf>
    <xf numFmtId="3" fontId="1" fillId="4" borderId="0" xfId="0" applyNumberFormat="1" applyFont="1" applyFill="1" applyAlignment="1">
      <alignment horizontal="center" vertical="center" wrapText="1"/>
    </xf>
    <xf numFmtId="3" fontId="5" fillId="4" borderId="0" xfId="0" applyNumberFormat="1" applyFont="1" applyFill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70" fontId="4" fillId="0" borderId="0" xfId="0" applyNumberFormat="1" applyFont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3" fontId="4" fillId="5" borderId="5" xfId="0" applyNumberFormat="1" applyFont="1" applyFill="1" applyBorder="1" applyAlignment="1">
      <alignment horizontal="center" vertical="center" wrapText="1"/>
    </xf>
    <xf numFmtId="170" fontId="4" fillId="5" borderId="5" xfId="0" applyNumberFormat="1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71" fontId="5" fillId="5" borderId="6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171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71" fontId="1" fillId="3" borderId="1" xfId="0" applyNumberFormat="1" applyFont="1" applyFill="1" applyBorder="1" applyAlignment="1">
      <alignment horizontal="center" vertical="center" wrapText="1"/>
    </xf>
    <xf numFmtId="172" fontId="1" fillId="3" borderId="1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3" fontId="4" fillId="0" borderId="0" xfId="0" applyNumberFormat="1" applyFont="1"/>
    <xf numFmtId="0" fontId="7" fillId="5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1" fillId="3" borderId="0" xfId="0" applyFont="1" applyFill="1" applyAlignment="1">
      <alignment vertical="center"/>
    </xf>
    <xf numFmtId="0" fontId="1" fillId="3" borderId="0" xfId="0" applyFont="1" applyFill="1"/>
    <xf numFmtId="0" fontId="0" fillId="0" borderId="0" xfId="0" applyFill="1"/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3" formatCode="#,##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70" formatCode="0.00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3" formatCode="#,##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3" formatCode="#,##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3" formatCode="#,##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3" formatCode="#,##0"/>
      <alignment horizontal="center"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ill>
        <patternFill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Direct and Indirect Jobs Supported by Modular Housing Programme (2025-2029)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Summary!$F$2</c:f>
              <c:strCache>
                <c:ptCount val="1"/>
                <c:pt idx="0">
                  <c:v>Direct Jobs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Summary!$E$3:$E$7</c:f>
              <c:numCache>
                <c:formatCode>General</c:formatCode>
                <c:ptCount val="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</c:numRef>
          </c:cat>
          <c:val>
            <c:numRef>
              <c:f>Summary!$F$3:$F$7</c:f>
              <c:numCache>
                <c:formatCode>#,##0</c:formatCode>
                <c:ptCount val="5"/>
                <c:pt idx="0">
                  <c:v>22758.787008547009</c:v>
                </c:pt>
                <c:pt idx="1">
                  <c:v>22883.316239316242</c:v>
                </c:pt>
                <c:pt idx="2">
                  <c:v>23800.341880341883</c:v>
                </c:pt>
                <c:pt idx="3">
                  <c:v>24715.521367521371</c:v>
                </c:pt>
                <c:pt idx="4">
                  <c:v>25616.239316239316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B-4782-B156-CD34BAE73D5F}"/>
            </c:ext>
          </c:extLst>
        </c:ser>
        <c:ser>
          <c:idx val="1"/>
          <c:order val="1"/>
          <c:tx>
            <c:strRef>
              <c:f>Summary!$G$2</c:f>
              <c:strCache>
                <c:ptCount val="1"/>
                <c:pt idx="0">
                  <c:v>Indirect Jobs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Summary!$E$3:$E$7</c:f>
              <c:numCache>
                <c:formatCode>General</c:formatCode>
                <c:ptCount val="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</c:numRef>
          </c:cat>
          <c:val>
            <c:numRef>
              <c:f>Summary!$G$3:$G$7</c:f>
              <c:numCache>
                <c:formatCode>#,##0</c:formatCode>
                <c:ptCount val="5"/>
                <c:pt idx="0">
                  <c:v>34138.180512820516</c:v>
                </c:pt>
                <c:pt idx="1">
                  <c:v>34324.974358974359</c:v>
                </c:pt>
                <c:pt idx="2">
                  <c:v>35700.512820512828</c:v>
                </c:pt>
                <c:pt idx="3">
                  <c:v>37073.282051282054</c:v>
                </c:pt>
                <c:pt idx="4">
                  <c:v>38424.358974358976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FB-4782-B156-CD34BAE73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6854960"/>
        <c:axId val="1716839120"/>
      </c:barChart>
      <c:catAx>
        <c:axId val="171685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839120"/>
        <c:crosses val="autoZero"/>
        <c:auto val="1"/>
        <c:lblAlgn val="ctr"/>
        <c:lblOffset val="100"/>
        <c:noMultiLvlLbl val="0"/>
      </c:catAx>
      <c:valAx>
        <c:axId val="171683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85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590549</xdr:colOff>
      <xdr:row>8</xdr:row>
      <xdr:rowOff>0</xdr:rowOff>
    </xdr:from>
    <xdr:to>
      <xdr:col>6</xdr:col>
      <xdr:colOff>2317750</xdr:colOff>
      <xdr:row>23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E13106-3003-80A6-469B-B087EEC02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08093C-77A4-40AD-A177-05A032904358}" name="Table1" displayName="Table1" ref="A3:B36" totalsRowShown="0">
  <autoFilter ref="A3:B36" xr:uid="{F308093C-77A4-40AD-A177-05A032904358}"/>
  <tableColumns count="2">
    <tableColumn id="1" xr3:uid="{8AB30C9A-08EF-4077-9F12-74B1F754FD46}" name="Parameter"/>
    <tableColumn id="2" xr3:uid="{29BA5D5A-9DA0-476F-8D55-AE83C8EB0274}" name="2026 Value" dataDxfId="29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300214-784B-45DB-B16F-BCBFE3B49089}" name="Table3" displayName="Table3" ref="A2:G8" totalsRowShown="0" headerRowDxfId="38" dataDxfId="39">
  <autoFilter ref="A2:G8" xr:uid="{8A300214-784B-45DB-B16F-BCBFE3B49089}"/>
  <tableColumns count="7">
    <tableColumn id="1" xr3:uid="{97A229FA-FD24-4D5E-B198-DC0226D30D60}" name="Year" dataDxfId="28"/>
    <tableColumn id="2" xr3:uid="{4256073C-E162-4E25-A9B2-49DF185BFAFD}" name="Total Completions" dataDxfId="27"/>
    <tableColumn id="3" xr3:uid="{66B8B09A-1CCB-492B-9070-7D428CA395D2}" name="Modular Share" dataDxfId="26"/>
    <tableColumn id="4" xr3:uid="{004EF062-2178-41B1-9DE2-97E07CA305E8}" name="Modular Houses" dataDxfId="25"/>
    <tableColumn id="5" xr3:uid="{64235E59-B487-4C02-B9A8-B1B59D33F9D3}" name="Traditional Houses" dataDxfId="24"/>
    <tableColumn id="6" xr3:uid="{406A87E3-A400-4CBD-9786-8DD16ACECD04}" name="Modular Apartments" dataDxfId="23"/>
    <tableColumn id="7" xr3:uid="{C458AF51-FC94-4C9C-BDD9-398612A4C3F1}" name="Traditional Apartments" dataDxfId="22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E509BC-6A1F-439D-81D1-B5BBCFA01A7E}" name="Table4" displayName="Table4" ref="A2:I8" totalsRowShown="0" headerRowDxfId="37" dataDxfId="36">
  <autoFilter ref="A2:I8" xr:uid="{13E509BC-6A1F-439D-81D1-B5BBCFA01A7E}"/>
  <tableColumns count="9">
    <tableColumn id="1" xr3:uid="{0C6669AD-B089-4E8B-95BD-80CC6C5CCC66}" name="Year" dataDxfId="21"/>
    <tableColumn id="2" xr3:uid="{74D17F60-1D99-4428-90A6-565BAF6183EB}" name="Investment (€m)" dataDxfId="20"/>
    <tableColumn id="3" xr3:uid="{8C0C935D-1221-4758-A672-A3E9DC6F6598}" name="Direct Jobs" dataDxfId="19"/>
    <tableColumn id="4" xr3:uid="{FC8CCCF5-26D2-404D-8F96-1E218F652085}" name="GVA (€m)" dataDxfId="18"/>
    <tableColumn id="5" xr3:uid="{09EA9151-4C44-40E1-8750-6FD17F5D22AF}" name="Income Tax (€m)" dataDxfId="17"/>
    <tableColumn id="6" xr3:uid="{E5D15020-F3A7-4097-B47C-D94C91EE9472}" name="VAT Houses (€m)" dataDxfId="16"/>
    <tableColumn id="7" xr3:uid="{E1200195-52EB-4915-9CFE-6F3DFA8EF39B}" name="VAT Apts (€m)" dataDxfId="15"/>
    <tableColumn id="8" xr3:uid="{5F0CDA9E-1560-4FEB-B776-50B3D24E97FB}" name="Corp Tax (€m)" dataDxfId="14"/>
    <tableColumn id="9" xr3:uid="{4DFD7404-9253-4963-A4FC-2FC944FCF967}" name="Indirect Jobs" dataDxfId="13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479832-AAC5-49CB-8316-F6A5BD5AF89B}" name="Table5" displayName="Table5" ref="A2:E5" totalsRowShown="0" headerRowDxfId="35">
  <autoFilter ref="A2:E5" xr:uid="{9D479832-AAC5-49CB-8316-F6A5BD5AF89B}"/>
  <tableColumns count="5">
    <tableColumn id="1" xr3:uid="{C1EF381F-FA22-4747-BEEC-CB019101F358}" name="Scenario" dataDxfId="12"/>
    <tableColumn id="2" xr3:uid="{9A94BDFE-7013-438D-853A-A654364ED730}" name="Annual Rent (€)" dataDxfId="11"/>
    <tableColumn id="3" xr3:uid="{ADC48460-9BD2-4686-A4C9-CD2383EADD14}" name="Taxable Income" dataDxfId="10"/>
    <tableColumn id="4" xr3:uid="{45F24D04-23A6-478C-9C79-C3BF7BF65FE8}" name="After-Tax Return (€)" dataDxfId="9">
      <calculatedColumnFormula>B3*(1-Assumptions!$B$24-Assumptions!$B$25-Assumptions!$B$26)</calculatedColumnFormula>
    </tableColumn>
    <tableColumn id="5" xr3:uid="{A0C24EDB-7040-4685-971D-96B7EEB39A41}" name="Tenant Status" dataDxfId="8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F59B17F-213B-48CF-931E-4A8C4C6264A3}" name="Table6" displayName="Table6" ref="A2:E8" totalsRowShown="0" headerRowDxfId="34" dataDxfId="33">
  <autoFilter ref="A2:E8" xr:uid="{AF59B17F-213B-48CF-931E-4A8C4C6264A3}"/>
  <tableColumns count="5">
    <tableColumn id="1" xr3:uid="{52D691A4-3ADF-4633-BE08-BCFBFB26CBE0}" name="Year" dataDxfId="7"/>
    <tableColumn id="2" xr3:uid="{17C9CC9A-662E-4241-8B10-35B5CF0FA12B}" name="Net Benefit (€m)" dataDxfId="6">
      <calculatedColumnFormula>Economic_Impact!B3+Economic_Impact!E3+Economic_Impact!F3+Economic_Impact!G3+Economic_Impact!H3</calculatedColumnFormula>
    </tableColumn>
    <tableColumn id="3" xr3:uid="{CB54E5FF-D3B0-45D1-8B67-2E755010F91A}" name="Discount Factor" dataDxfId="5">
      <calculatedColumnFormula>1/(1+Assumptions!$B$28)^(A3-2025)</calculatedColumnFormula>
    </tableColumn>
    <tableColumn id="4" xr3:uid="{84387E03-3DF1-42D4-92AA-352F5C980D53}" name="PV (€m)" dataDxfId="4">
      <calculatedColumnFormula>B3*C3</calculatedColumnFormula>
    </tableColumn>
    <tableColumn id="5" xr3:uid="{565F8BC4-AF16-49F5-8062-99A5E3E9482E}" name="Cumulative PV (€m)" dataDxfId="3">
      <calculatedColumnFormula>E2+D3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7648A3A-FE87-46B8-9893-6E2BE6ECBA3B}" name="Table9" displayName="Table9" ref="E2:G7" totalsRowShown="0" headerRowDxfId="31" dataDxfId="30">
  <autoFilter ref="E2:G7" xr:uid="{77648A3A-FE87-46B8-9893-6E2BE6ECBA3B}"/>
  <tableColumns count="3">
    <tableColumn id="1" xr3:uid="{CA2EE6BB-0C95-4996-8984-070FEE0F1B64}" name="Year" dataDxfId="2"/>
    <tableColumn id="2" xr3:uid="{4FD0EF97-2D40-4624-BA26-83463AA4C4AD}" name="Direct Jobs" dataDxfId="1">
      <calculatedColumnFormula>Economic_Impact!C3</calculatedColumnFormula>
    </tableColumn>
    <tableColumn id="3" xr3:uid="{54A33681-6333-4C91-A655-01EE90A2FDEA}" name="Indirect Jobs" dataDxfId="0">
      <calculatedColumnFormula>Economic_Impact!I3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workbookViewId="0">
      <pane ySplit="3" topLeftCell="A4" activePane="bottomLeft" state="frozen"/>
      <selection pane="bottomLeft" activeCell="D31" sqref="D31"/>
    </sheetView>
  </sheetViews>
  <sheetFormatPr defaultRowHeight="14.5"/>
  <cols>
    <col min="1" max="1" width="30.7265625" customWidth="1"/>
    <col min="2" max="2" width="18" style="8" customWidth="1"/>
    <col min="3" max="3" width="14.36328125" customWidth="1"/>
    <col min="4" max="4" width="14" customWidth="1"/>
  </cols>
  <sheetData>
    <row r="1" spans="1:4">
      <c r="A1" s="57" t="s">
        <v>90</v>
      </c>
      <c r="B1" s="57"/>
    </row>
    <row r="2" spans="1:4">
      <c r="A2" s="57"/>
      <c r="B2" s="57"/>
    </row>
    <row r="3" spans="1:4">
      <c r="A3" s="2" t="s">
        <v>0</v>
      </c>
      <c r="B3" s="2" t="s">
        <v>1</v>
      </c>
      <c r="C3" s="2"/>
      <c r="D3" s="2"/>
    </row>
    <row r="4" spans="1:4">
      <c r="A4" s="3" t="s">
        <v>4</v>
      </c>
      <c r="B4" s="6">
        <v>303000</v>
      </c>
      <c r="C4" s="3"/>
      <c r="D4" s="3"/>
    </row>
    <row r="5" spans="1:4">
      <c r="A5" s="3" t="s">
        <v>5</v>
      </c>
      <c r="B5" s="6">
        <v>36248</v>
      </c>
      <c r="C5" s="3"/>
      <c r="D5" s="3"/>
    </row>
    <row r="6" spans="1:4">
      <c r="A6" s="3" t="s">
        <v>6</v>
      </c>
      <c r="B6" s="6">
        <v>36500</v>
      </c>
      <c r="C6" s="3"/>
      <c r="D6" s="3"/>
    </row>
    <row r="7" spans="1:4">
      <c r="A7" s="3" t="s">
        <v>7</v>
      </c>
      <c r="B7" s="6">
        <v>38000</v>
      </c>
      <c r="C7" s="3"/>
      <c r="D7" s="3"/>
    </row>
    <row r="8" spans="1:4">
      <c r="A8" s="3" t="s">
        <v>8</v>
      </c>
      <c r="B8" s="6">
        <v>39500</v>
      </c>
      <c r="C8" s="3"/>
      <c r="D8" s="3"/>
    </row>
    <row r="9" spans="1:4" ht="29" customHeight="1">
      <c r="A9" s="3" t="s">
        <v>9</v>
      </c>
      <c r="B9" s="6">
        <v>41000</v>
      </c>
      <c r="C9" s="3"/>
      <c r="D9" s="3"/>
    </row>
    <row r="10" spans="1:4">
      <c r="A10" s="3" t="s">
        <v>10</v>
      </c>
      <c r="B10" s="7">
        <v>0.08</v>
      </c>
      <c r="C10" s="3"/>
      <c r="D10" s="3"/>
    </row>
    <row r="11" spans="1:4">
      <c r="A11" s="3" t="s">
        <v>11</v>
      </c>
      <c r="B11" s="7">
        <v>0.1</v>
      </c>
      <c r="C11" s="3"/>
      <c r="D11" s="3"/>
    </row>
    <row r="12" spans="1:4">
      <c r="A12" s="3" t="s">
        <v>12</v>
      </c>
      <c r="B12" s="7">
        <v>0.12</v>
      </c>
      <c r="C12" s="3"/>
      <c r="D12" s="3"/>
    </row>
    <row r="13" spans="1:4">
      <c r="A13" s="3" t="s">
        <v>13</v>
      </c>
      <c r="B13" s="7">
        <v>0.15</v>
      </c>
      <c r="C13" s="3"/>
      <c r="D13" s="3"/>
    </row>
    <row r="14" spans="1:4" ht="29" customHeight="1">
      <c r="A14" s="3" t="s">
        <v>14</v>
      </c>
      <c r="B14" s="6">
        <v>397000</v>
      </c>
      <c r="C14" s="3"/>
      <c r="D14" s="3"/>
    </row>
    <row r="15" spans="1:4">
      <c r="A15" s="3" t="s">
        <v>15</v>
      </c>
      <c r="B15" s="6">
        <v>320000</v>
      </c>
      <c r="C15" s="3"/>
      <c r="D15" s="3"/>
    </row>
    <row r="16" spans="1:4">
      <c r="A16" s="3" t="s">
        <v>16</v>
      </c>
      <c r="B16" s="6">
        <v>325000</v>
      </c>
      <c r="C16" s="3"/>
      <c r="D16" s="3"/>
    </row>
    <row r="17" spans="1:4">
      <c r="A17" s="3" t="s">
        <v>17</v>
      </c>
      <c r="B17" s="6">
        <v>280000</v>
      </c>
      <c r="C17" s="3"/>
      <c r="D17" s="3"/>
    </row>
    <row r="18" spans="1:4">
      <c r="A18" s="3" t="s">
        <v>18</v>
      </c>
      <c r="B18" s="6">
        <v>80000</v>
      </c>
      <c r="C18" s="3"/>
      <c r="D18" s="3"/>
    </row>
    <row r="19" spans="1:4">
      <c r="A19" s="3" t="s">
        <v>2</v>
      </c>
      <c r="B19" s="7">
        <v>0.13500000000000001</v>
      </c>
      <c r="C19" s="3"/>
      <c r="D19" s="3"/>
    </row>
    <row r="20" spans="1:4">
      <c r="A20" s="3" t="s">
        <v>19</v>
      </c>
      <c r="B20" s="7">
        <v>0.09</v>
      </c>
      <c r="C20" s="3"/>
      <c r="D20" s="3"/>
    </row>
    <row r="21" spans="1:4" ht="29" customHeight="1">
      <c r="A21" s="3" t="s">
        <v>20</v>
      </c>
      <c r="B21" s="7">
        <v>0.15</v>
      </c>
      <c r="C21" s="3"/>
      <c r="D21" s="3"/>
    </row>
    <row r="22" spans="1:4" ht="29">
      <c r="A22" s="3" t="s">
        <v>21</v>
      </c>
      <c r="B22" s="7">
        <v>1.25</v>
      </c>
      <c r="C22" s="3"/>
      <c r="D22" s="3"/>
    </row>
    <row r="23" spans="1:4">
      <c r="A23" s="3" t="s">
        <v>22</v>
      </c>
      <c r="B23" s="6">
        <v>58500</v>
      </c>
      <c r="C23" s="3"/>
      <c r="D23" s="3"/>
    </row>
    <row r="24" spans="1:4" ht="43.5" customHeight="1">
      <c r="A24" s="3" t="s">
        <v>23</v>
      </c>
      <c r="B24" s="7">
        <v>0.27</v>
      </c>
      <c r="C24" s="3"/>
      <c r="D24" s="3"/>
    </row>
    <row r="25" spans="1:4" ht="29" customHeight="1">
      <c r="A25" s="3" t="s">
        <v>24</v>
      </c>
      <c r="B25" s="7">
        <v>0.04</v>
      </c>
      <c r="C25" s="3"/>
      <c r="D25" s="3"/>
    </row>
    <row r="26" spans="1:4">
      <c r="A26" s="3" t="s">
        <v>25</v>
      </c>
      <c r="B26" s="7">
        <v>0.03</v>
      </c>
      <c r="C26" s="3"/>
      <c r="D26" s="3"/>
    </row>
    <row r="27" spans="1:4">
      <c r="A27" s="3" t="s">
        <v>26</v>
      </c>
      <c r="B27" s="6">
        <v>14000</v>
      </c>
      <c r="C27" s="3"/>
      <c r="D27" s="3"/>
    </row>
    <row r="28" spans="1:4" ht="29" customHeight="1">
      <c r="A28" s="3" t="s">
        <v>27</v>
      </c>
      <c r="B28" s="7">
        <v>0.04</v>
      </c>
      <c r="C28" s="3"/>
      <c r="D28" s="3"/>
    </row>
    <row r="29" spans="1:4">
      <c r="A29" s="3" t="s">
        <v>28</v>
      </c>
      <c r="B29" s="7">
        <v>0.38</v>
      </c>
    </row>
    <row r="30" spans="1:4" ht="29">
      <c r="A30" s="3" t="s">
        <v>29</v>
      </c>
      <c r="B30" s="1" t="s">
        <v>3</v>
      </c>
    </row>
    <row r="31" spans="1:4">
      <c r="A31" s="3" t="s">
        <v>30</v>
      </c>
      <c r="B31" s="10">
        <v>25</v>
      </c>
    </row>
    <row r="32" spans="1:4">
      <c r="A32" s="3" t="s">
        <v>31</v>
      </c>
      <c r="B32" s="10">
        <v>45</v>
      </c>
    </row>
    <row r="33" spans="1:2" ht="29">
      <c r="A33" s="3" t="s">
        <v>32</v>
      </c>
      <c r="B33" s="10">
        <v>1.5</v>
      </c>
    </row>
    <row r="34" spans="1:2">
      <c r="A34" s="3" t="s">
        <v>33</v>
      </c>
      <c r="B34" s="6">
        <v>185000</v>
      </c>
    </row>
    <row r="35" spans="1:2">
      <c r="A35" s="3" t="s">
        <v>34</v>
      </c>
      <c r="B35" s="6">
        <v>175000</v>
      </c>
    </row>
    <row r="36" spans="1:2">
      <c r="A36" s="3" t="s">
        <v>35</v>
      </c>
      <c r="B36" s="11" t="s">
        <v>36</v>
      </c>
    </row>
  </sheetData>
  <sheetProtection algorithmName="SHA-512" hashValue="mUzGVW+lfMLP74QUDN26eN9axOUOjwzk55lyx/P6TY792WKaTudJYpQLhE/z7VNz3Qo/7o5vDao4SSM8nMWu5g==" saltValue="lz7bpzaZDSgOfnrrc2oldA==" spinCount="100000" sheet="1" objects="1" scenarios="1"/>
  <mergeCells count="1">
    <mergeCell ref="A1:B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1CD7-AAF4-4DF0-8CA8-347954892B3D}">
  <dimension ref="A1:H20"/>
  <sheetViews>
    <sheetView workbookViewId="0">
      <pane ySplit="1" topLeftCell="A2" activePane="bottomLeft" state="frozen"/>
      <selection pane="bottomLeft" activeCell="D13" sqref="D13"/>
    </sheetView>
  </sheetViews>
  <sheetFormatPr defaultRowHeight="14.5"/>
  <cols>
    <col min="1" max="1" width="9.08984375" style="9" bestFit="1" customWidth="1"/>
    <col min="2" max="2" width="20.7265625" style="9" bestFit="1" customWidth="1"/>
    <col min="3" max="3" width="17.81640625" style="9" bestFit="1" customWidth="1"/>
    <col min="4" max="4" width="19.1796875" style="22" bestFit="1" customWidth="1"/>
    <col min="5" max="5" width="21.08984375" style="22" bestFit="1" customWidth="1"/>
    <col min="6" max="6" width="23.1796875" style="9" bestFit="1" customWidth="1"/>
    <col min="7" max="7" width="25.08984375" style="9" bestFit="1" customWidth="1"/>
  </cols>
  <sheetData>
    <row r="1" spans="1:8" ht="25" customHeight="1">
      <c r="A1" s="36" t="s">
        <v>91</v>
      </c>
      <c r="B1" s="37"/>
      <c r="C1" s="37"/>
      <c r="D1" s="37"/>
      <c r="E1" s="37"/>
      <c r="F1" s="37"/>
      <c r="G1" s="37"/>
    </row>
    <row r="2" spans="1:8" ht="43" customHeight="1">
      <c r="A2" s="2" t="s">
        <v>37</v>
      </c>
      <c r="B2" s="2" t="s">
        <v>38</v>
      </c>
      <c r="C2" s="2" t="s">
        <v>39</v>
      </c>
      <c r="D2" s="21" t="s">
        <v>40</v>
      </c>
      <c r="E2" s="21" t="s">
        <v>41</v>
      </c>
      <c r="F2" s="2" t="s">
        <v>42</v>
      </c>
      <c r="G2" s="2" t="s">
        <v>43</v>
      </c>
    </row>
    <row r="3" spans="1:8">
      <c r="A3" s="15">
        <v>2025</v>
      </c>
      <c r="B3" s="16">
        <f>Assumptions!$B$5</f>
        <v>36248</v>
      </c>
      <c r="C3" s="7">
        <v>0.05</v>
      </c>
      <c r="D3" s="16">
        <f>B3*C3*0.6</f>
        <v>1087.44</v>
      </c>
      <c r="E3" s="16">
        <f>B3*(1-C3)*0.6</f>
        <v>20661.359999999997</v>
      </c>
      <c r="F3" s="20">
        <f>B3*C3*0.4</f>
        <v>724.96</v>
      </c>
      <c r="G3" s="20">
        <f>B3*(1-C3)*0.4</f>
        <v>13774.24</v>
      </c>
      <c r="H3" s="12"/>
    </row>
    <row r="4" spans="1:8">
      <c r="A4" s="15">
        <v>2026</v>
      </c>
      <c r="B4" s="16">
        <f>Assumptions!$B$6</f>
        <v>36500</v>
      </c>
      <c r="C4" s="18">
        <f>Assumptions!$B$10</f>
        <v>0.08</v>
      </c>
      <c r="D4" s="16">
        <f>B4*C4*0.6</f>
        <v>1752</v>
      </c>
      <c r="E4" s="16">
        <f>B4*(1-C4)*0.6</f>
        <v>20148</v>
      </c>
      <c r="F4" s="20">
        <f>B4*C4*0.4</f>
        <v>1168</v>
      </c>
      <c r="G4" s="20">
        <f>B4*(1-C4)*0.4</f>
        <v>13432</v>
      </c>
      <c r="H4" s="12"/>
    </row>
    <row r="5" spans="1:8">
      <c r="A5" s="15">
        <v>2027</v>
      </c>
      <c r="B5" s="16">
        <f>Assumptions!$B$7</f>
        <v>38000</v>
      </c>
      <c r="C5" s="18">
        <f>Assumptions!$B$11</f>
        <v>0.1</v>
      </c>
      <c r="D5" s="16">
        <f>B5*C5*0.6</f>
        <v>2280</v>
      </c>
      <c r="E5" s="16">
        <f>B5*(1-C5)*0.6</f>
        <v>20520</v>
      </c>
      <c r="F5" s="20">
        <f>B5*C5*0.4</f>
        <v>1520</v>
      </c>
      <c r="G5" s="20">
        <f>B5*(1-C5)*0.4</f>
        <v>13680</v>
      </c>
      <c r="H5" s="12"/>
    </row>
    <row r="6" spans="1:8">
      <c r="A6" s="15">
        <v>2028</v>
      </c>
      <c r="B6" s="16">
        <f>Assumptions!$B$8</f>
        <v>39500</v>
      </c>
      <c r="C6" s="18">
        <f>Assumptions!$B$12</f>
        <v>0.12</v>
      </c>
      <c r="D6" s="16">
        <f>B6*C6*0.6</f>
        <v>2844</v>
      </c>
      <c r="E6" s="16">
        <f>B6*(1-C6)*0.6</f>
        <v>20856</v>
      </c>
      <c r="F6" s="20">
        <f>B6*C6*0.4</f>
        <v>1896</v>
      </c>
      <c r="G6" s="20">
        <f>B6*(1-C6)*0.4</f>
        <v>13904</v>
      </c>
      <c r="H6" s="12"/>
    </row>
    <row r="7" spans="1:8">
      <c r="A7" s="15">
        <v>2029</v>
      </c>
      <c r="B7" s="16">
        <f>Assumptions!$B$9</f>
        <v>41000</v>
      </c>
      <c r="C7" s="18">
        <f>Assumptions!$B$13</f>
        <v>0.15</v>
      </c>
      <c r="D7" s="16">
        <f>B7*C7*0.6</f>
        <v>3690</v>
      </c>
      <c r="E7" s="16">
        <f>B7*(1-C7)*0.6</f>
        <v>20910</v>
      </c>
      <c r="F7" s="20">
        <f>B7*C7*0.4</f>
        <v>2460</v>
      </c>
      <c r="G7" s="20">
        <f>B7*(1-C7)*0.4</f>
        <v>13940</v>
      </c>
      <c r="H7" s="12"/>
    </row>
    <row r="8" spans="1:8">
      <c r="A8" s="23" t="s">
        <v>44</v>
      </c>
      <c r="B8" s="24">
        <f>SUM(B3:B7)</f>
        <v>191248</v>
      </c>
      <c r="C8" s="25">
        <f>AVERAGE(C3:C7)</f>
        <v>0.1</v>
      </c>
      <c r="D8" s="24">
        <f>SUM(D3:D7)</f>
        <v>11653.44</v>
      </c>
      <c r="E8" s="24">
        <f>SUM(E3:E7)</f>
        <v>103095.36</v>
      </c>
      <c r="F8" s="26">
        <f>SUM(F3:F7)</f>
        <v>7768.96</v>
      </c>
      <c r="G8" s="26">
        <f>SUM(G3:G7)</f>
        <v>68730.239999999991</v>
      </c>
    </row>
    <row r="14" spans="1:8">
      <c r="A14" s="5"/>
      <c r="B14" s="2"/>
      <c r="C14" s="2"/>
      <c r="D14" s="21"/>
      <c r="E14" s="21"/>
      <c r="F14" s="5"/>
      <c r="G14" s="5"/>
      <c r="H14" s="4"/>
    </row>
    <row r="15" spans="1:8">
      <c r="A15" s="5"/>
      <c r="B15" s="1"/>
      <c r="C15" s="16"/>
      <c r="D15" s="6"/>
      <c r="E15" s="16"/>
      <c r="F15" s="19"/>
      <c r="G15" s="19"/>
      <c r="H15" s="12"/>
    </row>
    <row r="16" spans="1:8">
      <c r="A16" s="5"/>
      <c r="B16" s="1"/>
      <c r="C16" s="16"/>
      <c r="D16" s="16"/>
      <c r="E16" s="16"/>
      <c r="F16" s="19"/>
      <c r="G16" s="19"/>
      <c r="H16" s="12"/>
    </row>
    <row r="17" spans="1:8">
      <c r="A17" s="5"/>
      <c r="B17" s="1"/>
      <c r="C17" s="16"/>
      <c r="D17" s="16"/>
      <c r="E17" s="16"/>
      <c r="F17" s="19"/>
      <c r="G17" s="19"/>
      <c r="H17" s="12"/>
    </row>
    <row r="18" spans="1:8">
      <c r="A18" s="5"/>
      <c r="B18" s="1"/>
      <c r="C18" s="16"/>
      <c r="D18" s="16"/>
      <c r="E18" s="16"/>
      <c r="F18" s="19"/>
      <c r="G18" s="19"/>
      <c r="H18" s="12"/>
    </row>
    <row r="19" spans="1:8">
      <c r="A19" s="5"/>
      <c r="B19" s="1"/>
      <c r="C19" s="16"/>
      <c r="D19" s="16"/>
      <c r="E19" s="16"/>
      <c r="F19" s="19"/>
      <c r="G19" s="19"/>
      <c r="H19" s="12"/>
    </row>
    <row r="20" spans="1:8">
      <c r="A20" s="5"/>
      <c r="B20" s="1"/>
      <c r="C20" s="16"/>
      <c r="D20" s="16"/>
      <c r="E20" s="16"/>
      <c r="F20" s="19"/>
      <c r="G20" s="19"/>
      <c r="H20" s="12"/>
    </row>
  </sheetData>
  <sheetProtection algorithmName="SHA-512" hashValue="gmOic6pbF8EZeLyRXyuhWyDDLegeE1b290m7KWkPjnjL05fsBytT5D55Xp47aUsG078sS4GVff6YL1y6DfIizg==" saltValue="xHCEU3eUGcAvCmrNm3+Bdg==" spinCount="100000" sheet="1" objects="1" scenarios="1"/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E07FD-8C0B-483B-866E-196DF4DA43FE}">
  <dimension ref="A1:I8"/>
  <sheetViews>
    <sheetView workbookViewId="0">
      <pane ySplit="1" topLeftCell="A2" activePane="bottomLeft" state="frozen"/>
      <selection pane="bottomLeft" sqref="A1:XFD1048576"/>
    </sheetView>
  </sheetViews>
  <sheetFormatPr defaultRowHeight="14.5"/>
  <cols>
    <col min="2" max="2" width="19.36328125" bestFit="1" customWidth="1"/>
    <col min="3" max="3" width="14.453125" bestFit="1" customWidth="1"/>
    <col min="4" max="4" width="13.36328125" bestFit="1" customWidth="1"/>
    <col min="5" max="5" width="19.36328125" bestFit="1" customWidth="1"/>
    <col min="6" max="6" width="19.7265625" bestFit="1" customWidth="1"/>
    <col min="7" max="7" width="17.453125" bestFit="1" customWidth="1"/>
    <col min="8" max="8" width="17.08984375" bestFit="1" customWidth="1"/>
    <col min="9" max="9" width="19" customWidth="1"/>
  </cols>
  <sheetData>
    <row r="1" spans="1:9" ht="26.5" customHeight="1">
      <c r="A1" s="36" t="s">
        <v>95</v>
      </c>
      <c r="B1" s="35"/>
      <c r="C1" s="35"/>
      <c r="D1" s="35"/>
      <c r="E1" s="35"/>
      <c r="F1" s="35"/>
      <c r="G1" s="35"/>
      <c r="H1" s="35"/>
      <c r="I1" s="35"/>
    </row>
    <row r="2" spans="1:9">
      <c r="A2" s="2" t="s">
        <v>37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</row>
    <row r="3" spans="1:9">
      <c r="A3" s="10">
        <v>2025</v>
      </c>
      <c r="B3" s="16">
        <f>(Housing_Delivery!D3*Assumptions!$B$14 + Housing_Delivery!E3*Assumptions!$B$14 + Housing_Delivery!F3*Assumptions!$B$17 + Housing_Delivery!G3*Assumptions!$B$16)/1000000</f>
        <v>13313.8904</v>
      </c>
      <c r="C3" s="16">
        <f>B3*1000000/Assumptions!$B$23*0.1</f>
        <v>22758.787008547009</v>
      </c>
      <c r="D3" s="16">
        <f>C3*Assumptions!$B$23/1000000</f>
        <v>1331.38904</v>
      </c>
      <c r="E3" s="16">
        <f>C3*Assumptions!$B$23*Assumptions!$B$24/1000000</f>
        <v>359.47504079999999</v>
      </c>
      <c r="F3" s="16">
        <f>(Housing_Delivery!D3*Assumptions!$B$14 + Housing_Delivery!E3*Assumptions!$B$14)*Assumptions!$B$19/1000000</f>
        <v>1165.6269359999999</v>
      </c>
      <c r="G3" s="16">
        <f>(Housing_Delivery!F3*Assumptions!$B$17 + Housing_Delivery!G3*Assumptions!$B$16)*Assumptions!$B$20/1000000</f>
        <v>421.16551199999998</v>
      </c>
      <c r="H3" s="16">
        <f>(D3*Assumptions!$B$21)*0.5</f>
        <v>99.854178000000005</v>
      </c>
      <c r="I3" s="16">
        <f>C3*Assumptions!$B$33</f>
        <v>34138.180512820516</v>
      </c>
    </row>
    <row r="4" spans="1:9">
      <c r="A4" s="10">
        <v>2026</v>
      </c>
      <c r="B4" s="16">
        <f>(Housing_Delivery!D4*Assumptions!$B$14 + Housing_Delivery!E4*Assumptions!$B$14 + Housing_Delivery!F4*Assumptions!$B$17 + Housing_Delivery!G4*Assumptions!$B$16)/1000000</f>
        <v>13386.74</v>
      </c>
      <c r="C4" s="16">
        <f>B4*1000000/Assumptions!$B$23*0.1</f>
        <v>22883.316239316242</v>
      </c>
      <c r="D4" s="16">
        <f>C4*Assumptions!$B$23/1000000</f>
        <v>1338.6740000000002</v>
      </c>
      <c r="E4" s="16">
        <f>C4*Assumptions!$B$23*Assumptions!$B$24/1000000</f>
        <v>361.44198000000006</v>
      </c>
      <c r="F4" s="16">
        <f>(Housing_Delivery!D4*Assumptions!$B$14 + Housing_Delivery!E4*Assumptions!$B$14)*Assumptions!$B$19/1000000</f>
        <v>1173.7304999999999</v>
      </c>
      <c r="G4" s="16">
        <f>(Housing_Delivery!F4*Assumptions!$B$17 + Housing_Delivery!G4*Assumptions!$B$16)*Assumptions!$B$20/1000000</f>
        <v>422.31959999999998</v>
      </c>
      <c r="H4" s="16">
        <f>(D4*Assumptions!$B$21)*0.5</f>
        <v>100.40055000000001</v>
      </c>
      <c r="I4" s="16">
        <f>C4*Assumptions!$B$33</f>
        <v>34324.974358974359</v>
      </c>
    </row>
    <row r="5" spans="1:9">
      <c r="A5" s="10">
        <v>2027</v>
      </c>
      <c r="B5" s="16">
        <f>(Housing_Delivery!D5*Assumptions!$B$14 + Housing_Delivery!E5*Assumptions!$B$14 + Housing_Delivery!F5*Assumptions!$B$17 + Housing_Delivery!G5*Assumptions!$B$16)/1000000</f>
        <v>13923.2</v>
      </c>
      <c r="C5" s="16">
        <f>B5*1000000/Assumptions!$B$23*0.1</f>
        <v>23800.341880341883</v>
      </c>
      <c r="D5" s="16">
        <f>C5*Assumptions!$B$23/1000000</f>
        <v>1392.3200000000002</v>
      </c>
      <c r="E5" s="16">
        <f>C5*Assumptions!$B$23*Assumptions!$B$24/1000000</f>
        <v>375.92640000000006</v>
      </c>
      <c r="F5" s="16">
        <f>(Housing_Delivery!D5*Assumptions!$B$14 + Housing_Delivery!E5*Assumptions!$B$14)*Assumptions!$B$19/1000000</f>
        <v>1221.9659999999999</v>
      </c>
      <c r="G5" s="16">
        <f>(Housing_Delivery!F5*Assumptions!$B$17 + Housing_Delivery!G5*Assumptions!$B$16)*Assumptions!$B$20/1000000</f>
        <v>438.44400000000002</v>
      </c>
      <c r="H5" s="16">
        <f>(D5*Assumptions!$B$21)*0.5</f>
        <v>104.42400000000001</v>
      </c>
      <c r="I5" s="16">
        <f>C5*Assumptions!$B$33</f>
        <v>35700.512820512828</v>
      </c>
    </row>
    <row r="6" spans="1:9">
      <c r="A6" s="10">
        <v>2028</v>
      </c>
      <c r="B6" s="16">
        <f>(Housing_Delivery!D6*Assumptions!$B$14 + Housing_Delivery!E6*Assumptions!$B$14 + Housing_Delivery!F6*Assumptions!$B$17 + Housing_Delivery!G6*Assumptions!$B$16)/1000000</f>
        <v>14458.58</v>
      </c>
      <c r="C6" s="16">
        <f>B6*1000000/Assumptions!$B$23*0.1</f>
        <v>24715.521367521371</v>
      </c>
      <c r="D6" s="16">
        <f>C6*Assumptions!$B$23/1000000</f>
        <v>1445.8580000000002</v>
      </c>
      <c r="E6" s="16">
        <f>C6*Assumptions!$B$23*Assumptions!$B$24/1000000</f>
        <v>390.38166000000012</v>
      </c>
      <c r="F6" s="16">
        <f>(Housing_Delivery!D6*Assumptions!$B$14 + Housing_Delivery!E6*Assumptions!$B$14)*Assumptions!$B$19/1000000</f>
        <v>1270.2014999999999</v>
      </c>
      <c r="G6" s="16">
        <f>(Housing_Delivery!F6*Assumptions!$B$17 + Housing_Delivery!G6*Assumptions!$B$16)*Assumptions!$B$20/1000000</f>
        <v>454.47120000000001</v>
      </c>
      <c r="H6" s="16">
        <f>(D6*Assumptions!$B$21)*0.5</f>
        <v>108.43935</v>
      </c>
      <c r="I6" s="16">
        <f>C6*Assumptions!$B$33</f>
        <v>37073.282051282054</v>
      </c>
    </row>
    <row r="7" spans="1:9">
      <c r="A7" s="10">
        <v>2029</v>
      </c>
      <c r="B7" s="16">
        <f>(Housing_Delivery!D7*Assumptions!$B$14 + Housing_Delivery!E7*Assumptions!$B$14 + Housing_Delivery!F7*Assumptions!$B$17 + Housing_Delivery!G7*Assumptions!$B$16)/1000000</f>
        <v>14985.5</v>
      </c>
      <c r="C7" s="16">
        <f>B7*1000000/Assumptions!$B$23*0.1</f>
        <v>25616.239316239316</v>
      </c>
      <c r="D7" s="16">
        <f>C7*Assumptions!$B$23/1000000</f>
        <v>1498.55</v>
      </c>
      <c r="E7" s="16">
        <f>C7*Assumptions!$B$23*Assumptions!$B$24/1000000</f>
        <v>404.60849999999999</v>
      </c>
      <c r="F7" s="16">
        <f>(Housing_Delivery!D7*Assumptions!$B$14 + Housing_Delivery!E7*Assumptions!$B$14)*Assumptions!$B$19/1000000</f>
        <v>1318.4369999999999</v>
      </c>
      <c r="G7" s="16">
        <f>(Housing_Delivery!F7*Assumptions!$B$17 + Housing_Delivery!G7*Assumptions!$B$16)*Assumptions!$B$20/1000000</f>
        <v>469.73700000000002</v>
      </c>
      <c r="H7" s="16">
        <f>(D7*Assumptions!$B$21)*0.5</f>
        <v>112.39125</v>
      </c>
      <c r="I7" s="16">
        <f>C7*Assumptions!$B$33</f>
        <v>38424.358974358976</v>
      </c>
    </row>
    <row r="8" spans="1:9">
      <c r="A8" s="27" t="s">
        <v>44</v>
      </c>
      <c r="B8" s="28">
        <f>SUM(B3:B7)</f>
        <v>70067.910400000008</v>
      </c>
      <c r="C8" s="28">
        <f>SUM(C3:C7)</f>
        <v>119774.20581196583</v>
      </c>
      <c r="D8" s="28">
        <f>SUM(D3:D7)</f>
        <v>7006.791040000001</v>
      </c>
      <c r="E8" s="28">
        <f>SUM(E3:E7)</f>
        <v>1891.8335808000004</v>
      </c>
      <c r="F8" s="28">
        <f>SUM(F3:F7)</f>
        <v>6149.9619359999997</v>
      </c>
      <c r="G8" s="28">
        <f>SUM(G3:G7)</f>
        <v>2206.1373119999998</v>
      </c>
      <c r="H8" s="28">
        <f>SUM(H3:H7)</f>
        <v>525.50932799999998</v>
      </c>
      <c r="I8" s="28">
        <f>SUM(I3:I7)</f>
        <v>179661.30871794873</v>
      </c>
    </row>
  </sheetData>
  <sheetProtection algorithmName="SHA-512" hashValue="UGx/yDqybOUPnRmagxO4MN230+55UTrnxEA2PTug3M1runypPFNoWSK3B/acjAqQhZrCmJGP45Zgb5lNHJ6oCA==" saltValue="SwmQrxN0h0o1e2flOT0EKg==" spinCount="100000" sheet="1" objects="1" scenarios="1"/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A6927-5036-4A51-A29F-0FE2248AD438}">
  <dimension ref="A1:E5"/>
  <sheetViews>
    <sheetView workbookViewId="0">
      <pane ySplit="1" topLeftCell="A2" activePane="bottomLeft" state="frozen"/>
      <selection pane="bottomLeft" sqref="A1:XFD1048576"/>
    </sheetView>
  </sheetViews>
  <sheetFormatPr defaultRowHeight="14.5"/>
  <cols>
    <col min="1" max="1" width="22.08984375" customWidth="1"/>
    <col min="2" max="2" width="18.453125" bestFit="1" customWidth="1"/>
    <col min="3" max="3" width="18.54296875" bestFit="1" customWidth="1"/>
    <col min="4" max="4" width="22.26953125" bestFit="1" customWidth="1"/>
    <col min="5" max="5" width="17" bestFit="1" customWidth="1"/>
  </cols>
  <sheetData>
    <row r="1" spans="1:5" ht="33.5" customHeight="1" thickBot="1">
      <c r="A1" s="58" t="s">
        <v>92</v>
      </c>
      <c r="B1" s="29"/>
      <c r="C1" s="29"/>
      <c r="D1" s="29"/>
      <c r="E1" s="30"/>
    </row>
    <row r="2" spans="1:5" ht="24.5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</row>
    <row r="3" spans="1:5" ht="43.5">
      <c r="A3" s="3" t="s">
        <v>58</v>
      </c>
      <c r="B3" s="6">
        <v>14000</v>
      </c>
      <c r="C3" s="1">
        <v>0</v>
      </c>
      <c r="D3" s="6">
        <v>14000</v>
      </c>
      <c r="E3" s="1" t="s">
        <v>59</v>
      </c>
    </row>
    <row r="4" spans="1:5" ht="29">
      <c r="A4" s="3" t="s">
        <v>60</v>
      </c>
      <c r="B4" s="6">
        <v>20000</v>
      </c>
      <c r="C4" s="6">
        <v>20000</v>
      </c>
      <c r="D4" s="17">
        <f>B4*(1-Assumptions!$B$24-Assumptions!$B$25-Assumptions!$B$26)</f>
        <v>13199.999999999998</v>
      </c>
      <c r="E4" s="1" t="s">
        <v>61</v>
      </c>
    </row>
    <row r="5" spans="1:5">
      <c r="A5" s="3" t="s">
        <v>62</v>
      </c>
      <c r="B5" s="6">
        <v>25000</v>
      </c>
      <c r="C5" s="6">
        <v>25000</v>
      </c>
      <c r="D5" s="17">
        <f>B5*(1-Assumptions!$B$24-Assumptions!$B$25-Assumptions!$B$26)</f>
        <v>16499.999999999996</v>
      </c>
      <c r="E5" s="1" t="s">
        <v>61</v>
      </c>
    </row>
  </sheetData>
  <sheetProtection algorithmName="SHA-512" hashValue="MrNNBnQP4Y39MOaL8td/v2vksdRjJMzccWiT4FQyO6MNd1c+g1m6EgXm1FMw4C6hhhoVyC9Nq7eI+fN/nJ7qDA==" saltValue="uKr+li7j0KbiNbKxWSDqQw==" spinCount="100000" sheet="1" objects="1" scenarios="1"/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4590-CDAF-4C53-8A3B-B37331747722}">
  <dimension ref="A1:E8"/>
  <sheetViews>
    <sheetView workbookViewId="0">
      <pane ySplit="1" topLeftCell="A2" activePane="bottomLeft" state="frozen"/>
      <selection pane="bottomLeft" sqref="A1:XFD1048576"/>
    </sheetView>
  </sheetViews>
  <sheetFormatPr defaultRowHeight="14.5"/>
  <cols>
    <col min="1" max="1" width="10.26953125" customWidth="1"/>
    <col min="2" max="2" width="19.26953125" bestFit="1" customWidth="1"/>
    <col min="3" max="3" width="18.54296875" bestFit="1" customWidth="1"/>
    <col min="4" max="4" width="12" bestFit="1" customWidth="1"/>
    <col min="5" max="5" width="22.08984375" bestFit="1" customWidth="1"/>
  </cols>
  <sheetData>
    <row r="1" spans="1:5" ht="21">
      <c r="A1" s="38" t="s">
        <v>93</v>
      </c>
      <c r="B1" s="39"/>
      <c r="C1" s="39"/>
      <c r="D1" s="39"/>
      <c r="E1" s="39"/>
    </row>
    <row r="2" spans="1:5" ht="21.5" customHeight="1">
      <c r="A2" s="2" t="s">
        <v>37</v>
      </c>
      <c r="B2" s="2" t="s">
        <v>63</v>
      </c>
      <c r="C2" s="2" t="s">
        <v>64</v>
      </c>
      <c r="D2" s="2" t="s">
        <v>65</v>
      </c>
      <c r="E2" s="2" t="s">
        <v>66</v>
      </c>
    </row>
    <row r="3" spans="1:5">
      <c r="A3" s="1">
        <v>2025</v>
      </c>
      <c r="B3" s="16">
        <f>Economic_Impact!B3+Economic_Impact!E3+Economic_Impact!F3+Economic_Impact!G3+Economic_Impact!H3</f>
        <v>15360.0120668</v>
      </c>
      <c r="C3" s="31">
        <f>1/(1+Assumptions!$B$28)^(A3-2025)</f>
        <v>1</v>
      </c>
      <c r="D3" s="16">
        <f>B3*C3</f>
        <v>15360.0120668</v>
      </c>
      <c r="E3" s="16">
        <f>D3</f>
        <v>15360.0120668</v>
      </c>
    </row>
    <row r="4" spans="1:5">
      <c r="A4" s="1">
        <v>2026</v>
      </c>
      <c r="B4" s="16">
        <f>Economic_Impact!B4+Economic_Impact!E4+Economic_Impact!F4+Economic_Impact!G4+Economic_Impact!H4</f>
        <v>15444.63263</v>
      </c>
      <c r="C4" s="31">
        <f>1/(1+Assumptions!$B$28)^(A4-2025)</f>
        <v>0.96153846153846145</v>
      </c>
      <c r="D4" s="16">
        <f>B4*C4</f>
        <v>14850.608298076922</v>
      </c>
      <c r="E4" s="16">
        <f>E3+D4</f>
        <v>30210.620364876922</v>
      </c>
    </row>
    <row r="5" spans="1:5">
      <c r="A5" s="1">
        <v>2027</v>
      </c>
      <c r="B5" s="16">
        <f>Economic_Impact!B5+Economic_Impact!E5+Economic_Impact!F5+Economic_Impact!G5+Economic_Impact!H5</f>
        <v>16063.960400000002</v>
      </c>
      <c r="C5" s="31">
        <f>1/(1+Assumptions!$B$28)^(A5-2025)</f>
        <v>0.92455621301775137</v>
      </c>
      <c r="D5" s="16">
        <f>B5*C5</f>
        <v>14852.034393491123</v>
      </c>
      <c r="E5" s="16">
        <f>E4+D5</f>
        <v>45062.654758368044</v>
      </c>
    </row>
    <row r="6" spans="1:5">
      <c r="A6" s="1">
        <v>2028</v>
      </c>
      <c r="B6" s="16">
        <f>Economic_Impact!B6+Economic_Impact!E6+Economic_Impact!F6+Economic_Impact!G6+Economic_Impact!H6</f>
        <v>16682.073710000001</v>
      </c>
      <c r="C6" s="31">
        <f>1/(1+Assumptions!$B$28)^(A6-2025)</f>
        <v>0.88899635867091487</v>
      </c>
      <c r="D6" s="16">
        <f>B6*C6</f>
        <v>14830.302783269801</v>
      </c>
      <c r="E6" s="16">
        <f>E5+D6</f>
        <v>59892.957541637843</v>
      </c>
    </row>
    <row r="7" spans="1:5" ht="15" thickBot="1">
      <c r="A7" s="1">
        <v>2029</v>
      </c>
      <c r="B7" s="16">
        <f>Economic_Impact!B7+Economic_Impact!E7+Economic_Impact!F7+Economic_Impact!G7+Economic_Impact!H7</f>
        <v>17290.673750000002</v>
      </c>
      <c r="C7" s="31">
        <f>1/(1+Assumptions!$B$28)^(A7-2025)</f>
        <v>0.85480419102972571</v>
      </c>
      <c r="D7" s="16">
        <f>B7*C7</f>
        <v>14780.140387227666</v>
      </c>
      <c r="E7" s="16">
        <f>E6+D7</f>
        <v>74673.097928865507</v>
      </c>
    </row>
    <row r="8" spans="1:5" ht="15" thickBot="1">
      <c r="A8" s="32" t="s">
        <v>67</v>
      </c>
      <c r="B8" s="33"/>
      <c r="C8" s="34"/>
      <c r="D8" s="33"/>
      <c r="E8" s="40">
        <f>E7/1000</f>
        <v>74.673097928865502</v>
      </c>
    </row>
  </sheetData>
  <sheetProtection algorithmName="SHA-512" hashValue="Ae9PLgfagdDOtE6byPN5AgrFEuD7qzfwzxt4Adcs5TieZWOVKL8xOMWRGDMdhzNJAHn6V7CdhNSBWvRSUgXshg==" saltValue="75fXRfG6xpyrhdmpay8gyg==" spinCount="100000" sheet="1" objects="1" scenarios="1"/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ED407-C6AE-4357-A76D-4B266780C293}">
  <dimension ref="A1:Q23"/>
  <sheetViews>
    <sheetView tabSelected="1" workbookViewId="0">
      <pane ySplit="1" topLeftCell="A3" activePane="bottomLeft" state="frozen"/>
      <selection pane="bottomLeft" activeCell="E6" sqref="E6"/>
    </sheetView>
  </sheetViews>
  <sheetFormatPr defaultRowHeight="14.5"/>
  <cols>
    <col min="1" max="1" width="26.54296875" customWidth="1"/>
    <col min="2" max="2" width="10.36328125" style="9" bestFit="1" customWidth="1"/>
    <col min="3" max="3" width="23.08984375" style="9" customWidth="1"/>
    <col min="4" max="4" width="6.26953125" customWidth="1"/>
    <col min="5" max="5" width="9.453125" customWidth="1"/>
    <col min="6" max="6" width="11.90625" customWidth="1"/>
    <col min="7" max="7" width="33.6328125" customWidth="1"/>
    <col min="8" max="8" width="5.36328125" customWidth="1"/>
  </cols>
  <sheetData>
    <row r="1" spans="1:17" ht="37" customHeight="1">
      <c r="A1" s="59" t="s">
        <v>94</v>
      </c>
      <c r="B1" s="41"/>
      <c r="C1" s="41"/>
      <c r="E1" s="61" t="s">
        <v>96</v>
      </c>
      <c r="F1" s="61"/>
      <c r="G1" s="61"/>
      <c r="I1" s="63" t="s">
        <v>99</v>
      </c>
      <c r="J1" s="64"/>
      <c r="K1" s="64"/>
      <c r="L1" s="64"/>
      <c r="M1" s="63"/>
      <c r="N1" s="65"/>
      <c r="O1" s="65"/>
      <c r="P1" s="65"/>
      <c r="Q1" s="65"/>
    </row>
    <row r="2" spans="1:17">
      <c r="A2" s="52" t="s">
        <v>68</v>
      </c>
      <c r="B2" s="53"/>
      <c r="C2" s="54"/>
      <c r="E2" s="2" t="s">
        <v>37</v>
      </c>
      <c r="F2" s="2" t="s">
        <v>46</v>
      </c>
      <c r="G2" s="2" t="s">
        <v>52</v>
      </c>
      <c r="I2" s="64" t="s">
        <v>98</v>
      </c>
      <c r="J2" s="64"/>
      <c r="K2" s="64"/>
      <c r="L2" s="64"/>
      <c r="M2" s="64"/>
    </row>
    <row r="3" spans="1:17">
      <c r="A3" s="45" t="s">
        <v>69</v>
      </c>
      <c r="B3" s="46" t="s">
        <v>70</v>
      </c>
      <c r="C3" s="46" t="s">
        <v>71</v>
      </c>
      <c r="E3" s="1">
        <v>2025</v>
      </c>
      <c r="F3" s="16">
        <f>Economic_Impact!C3</f>
        <v>22758.787008547009</v>
      </c>
      <c r="G3" s="16">
        <f>Economic_Impact!I3</f>
        <v>34138.180512820516</v>
      </c>
    </row>
    <row r="4" spans="1:17">
      <c r="A4" s="42" t="s">
        <v>72</v>
      </c>
      <c r="B4" s="44">
        <f>Housing_Delivery!B8</f>
        <v>191248</v>
      </c>
      <c r="C4" s="43" t="s">
        <v>73</v>
      </c>
      <c r="E4" s="1">
        <v>2026</v>
      </c>
      <c r="F4" s="16">
        <f>Economic_Impact!C4</f>
        <v>22883.316239316242</v>
      </c>
      <c r="G4" s="16">
        <f>Economic_Impact!I4</f>
        <v>34324.974358974359</v>
      </c>
    </row>
    <row r="5" spans="1:17">
      <c r="A5" s="42" t="s">
        <v>74</v>
      </c>
      <c r="B5" s="47">
        <f>Economic_Impact!B8/1000</f>
        <v>70.067910400000002</v>
      </c>
      <c r="C5" s="43" t="s">
        <v>75</v>
      </c>
      <c r="E5" s="1">
        <v>2027</v>
      </c>
      <c r="F5" s="16">
        <f>Economic_Impact!C5</f>
        <v>23800.341880341883</v>
      </c>
      <c r="G5" s="16">
        <f>Economic_Impact!I5</f>
        <v>35700.512820512828</v>
      </c>
    </row>
    <row r="6" spans="1:17" ht="29">
      <c r="A6" s="42" t="s">
        <v>76</v>
      </c>
      <c r="B6" s="47">
        <f>Economic_Impact!D8/1000</f>
        <v>7.0067910400000013</v>
      </c>
      <c r="C6" s="43" t="s">
        <v>75</v>
      </c>
      <c r="E6" s="1">
        <v>2028</v>
      </c>
      <c r="F6" s="16">
        <f>Economic_Impact!C6</f>
        <v>24715.521367521371</v>
      </c>
      <c r="G6" s="16">
        <f>Economic_Impact!I6</f>
        <v>37073.282051282054</v>
      </c>
    </row>
    <row r="7" spans="1:17">
      <c r="A7" s="42" t="s">
        <v>77</v>
      </c>
      <c r="B7" s="44">
        <f>Economic_Impact!C8</f>
        <v>119774.20581196583</v>
      </c>
      <c r="C7" s="43" t="s">
        <v>78</v>
      </c>
      <c r="E7" s="1">
        <v>2029</v>
      </c>
      <c r="F7" s="16">
        <f>Economic_Impact!C7</f>
        <v>25616.239316239316</v>
      </c>
      <c r="G7" s="16">
        <f>Economic_Impact!I7</f>
        <v>38424.358974358976</v>
      </c>
    </row>
    <row r="8" spans="1:17">
      <c r="A8" s="42" t="s">
        <v>79</v>
      </c>
      <c r="B8" s="44">
        <f>Economic_Impact!I8</f>
        <v>179661.30871794873</v>
      </c>
      <c r="C8" s="43" t="s">
        <v>78</v>
      </c>
      <c r="E8" s="3"/>
      <c r="F8" s="60"/>
      <c r="G8" s="60"/>
    </row>
    <row r="9" spans="1:17">
      <c r="A9" s="49" t="s">
        <v>80</v>
      </c>
      <c r="B9" s="48">
        <f>Economic_Impact!C8+Economic_Impact!I8</f>
        <v>299435.5145299146</v>
      </c>
      <c r="C9" s="50" t="s">
        <v>78</v>
      </c>
    </row>
    <row r="10" spans="1:17">
      <c r="A10" s="45" t="s">
        <v>89</v>
      </c>
      <c r="B10" s="46"/>
      <c r="C10" s="46"/>
    </row>
    <row r="11" spans="1:17">
      <c r="A11" s="42" t="s">
        <v>81</v>
      </c>
      <c r="B11" s="47">
        <f>Economic_Impact!E8/1000</f>
        <v>1.8918335808000004</v>
      </c>
      <c r="C11" s="43" t="s">
        <v>75</v>
      </c>
    </row>
    <row r="12" spans="1:17">
      <c r="A12" s="42" t="s">
        <v>82</v>
      </c>
      <c r="B12" s="47">
        <f>Economic_Impact!F8/1000</f>
        <v>6.1499619359999995</v>
      </c>
      <c r="C12" s="43" t="s">
        <v>75</v>
      </c>
      <c r="J12" s="3"/>
      <c r="K12" s="12"/>
      <c r="L12" s="3"/>
    </row>
    <row r="13" spans="1:17">
      <c r="A13" s="42" t="s">
        <v>83</v>
      </c>
      <c r="B13" s="47">
        <f>Economic_Impact!G8/1000</f>
        <v>2.2061373119999996</v>
      </c>
      <c r="C13" s="43" t="s">
        <v>75</v>
      </c>
      <c r="I13" s="4"/>
      <c r="J13" s="3"/>
      <c r="K13" s="12"/>
      <c r="L13" s="3"/>
    </row>
    <row r="14" spans="1:17">
      <c r="A14" s="42" t="s">
        <v>84</v>
      </c>
      <c r="B14" s="47">
        <f>Economic_Impact!H8/1000</f>
        <v>0.52550932799999994</v>
      </c>
      <c r="C14" s="43" t="s">
        <v>75</v>
      </c>
      <c r="I14" s="4"/>
      <c r="J14" s="3"/>
      <c r="K14" s="12"/>
      <c r="L14" s="3"/>
    </row>
    <row r="15" spans="1:17">
      <c r="A15" s="45" t="s">
        <v>85</v>
      </c>
      <c r="B15" s="55">
        <f>(Economic_Impact!E8+Economic_Impact!F8+Economic_Impact!G8+Economic_Impact!H8)/1000</f>
        <v>10.7734421568</v>
      </c>
      <c r="C15" s="46" t="s">
        <v>75</v>
      </c>
      <c r="I15" s="4"/>
      <c r="J15" s="3"/>
      <c r="K15" s="12"/>
      <c r="L15" s="3"/>
    </row>
    <row r="16" spans="1:17">
      <c r="A16" s="45" t="s">
        <v>86</v>
      </c>
      <c r="B16" s="56">
        <f>NPV_Calculation!E8</f>
        <v>74.673097928865502</v>
      </c>
      <c r="C16" s="46" t="s">
        <v>75</v>
      </c>
      <c r="I16" s="4"/>
      <c r="J16" s="4"/>
      <c r="K16" s="12"/>
      <c r="L16" s="3"/>
    </row>
    <row r="17" spans="1:12">
      <c r="A17" s="42" t="s">
        <v>87</v>
      </c>
      <c r="B17" s="51">
        <f>Assumptions!$B$28</f>
        <v>0.04</v>
      </c>
      <c r="C17" s="43" t="s">
        <v>88</v>
      </c>
      <c r="I17" s="4"/>
      <c r="J17" s="3"/>
      <c r="K17" s="3"/>
      <c r="L17" s="3"/>
    </row>
    <row r="18" spans="1:12">
      <c r="I18" s="4"/>
      <c r="J18" s="4"/>
      <c r="K18" s="13"/>
      <c r="L18" s="3"/>
    </row>
    <row r="19" spans="1:12">
      <c r="A19" s="62" t="s">
        <v>97</v>
      </c>
      <c r="B19" s="62"/>
      <c r="C19" s="62"/>
      <c r="I19" s="4"/>
      <c r="J19" s="3"/>
      <c r="K19" s="14"/>
      <c r="L19" s="3"/>
    </row>
    <row r="20" spans="1:12">
      <c r="A20" s="62"/>
      <c r="B20" s="62"/>
      <c r="C20" s="62"/>
    </row>
    <row r="21" spans="1:12">
      <c r="A21" s="62"/>
      <c r="B21" s="62"/>
      <c r="C21" s="62"/>
    </row>
    <row r="22" spans="1:12">
      <c r="A22" s="62"/>
      <c r="B22" s="62"/>
      <c r="C22" s="62"/>
    </row>
    <row r="23" spans="1:12">
      <c r="A23" s="62"/>
      <c r="B23" s="62"/>
      <c r="C23" s="62"/>
    </row>
  </sheetData>
  <sheetProtection algorithmName="SHA-512" hashValue="4esYw428p2zmAxIuhUuEP38MQ62Y6yDLZcZrC2PusrJxpotop78kbRBF53ZJlyw1VxfVroDz2nte6AXP26LLMQ==" saltValue="4c0Yf3WEObUdjEFGE5zRxA==" spinCount="100000" sheet="1" objects="1" scenarios="1"/>
  <mergeCells count="4">
    <mergeCell ref="A1:C1"/>
    <mergeCell ref="A2:C2"/>
    <mergeCell ref="E1:G1"/>
    <mergeCell ref="A19:C23"/>
  </mergeCells>
  <conditionalFormatting sqref="B18">
    <cfRule type="cellIs" dxfId="32" priority="1" operator="greaterThan">
      <formula>0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Housing_Delivery</vt:lpstr>
      <vt:lpstr>Economic_Impact</vt:lpstr>
      <vt:lpstr>Rent_Impact</vt:lpstr>
      <vt:lpstr>NPV_Calculation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Mohamed Abdurrahman</cp:lastModifiedBy>
  <dcterms:created xsi:type="dcterms:W3CDTF">2015-06-05T18:17:20Z</dcterms:created>
  <dcterms:modified xsi:type="dcterms:W3CDTF">2026-04-30T03:31:56Z</dcterms:modified>
</cp:coreProperties>
</file>